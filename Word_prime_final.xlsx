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32\Downloads\"/>
    </mc:Choice>
  </mc:AlternateContent>
  <xr:revisionPtr revIDLastSave="0" documentId="13_ncr:1_{966EE744-22C1-4C40-82B3-D9883A931F61}" xr6:coauthVersionLast="47" xr6:coauthVersionMax="47" xr10:uidLastSave="{00000000-0000-0000-0000-000000000000}"/>
  <bookViews>
    <workbookView xWindow="-110" yWindow="-110" windowWidth="19420" windowHeight="10300" xr2:uid="{CA77B7F8-5A01-4FB8-B74C-60404E369E8D}"/>
  </bookViews>
  <sheets>
    <sheet name="pariticipant 1" sheetId="4" r:id="rId1"/>
    <sheet name="participnt 2" sheetId="2" r:id="rId2"/>
    <sheet name="participant 3" sheetId="3" r:id="rId3"/>
    <sheet name="participant 4" sheetId="1" r:id="rId4"/>
  </sheets>
  <definedNames>
    <definedName name="_xlnm._FilterDatabase" localSheetId="1" hidden="1">'participnt 2'!$A$1:$G$34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4" l="1"/>
  <c r="L28" i="4" s="1"/>
  <c r="L26" i="4"/>
  <c r="L23" i="4"/>
  <c r="G35" i="1"/>
  <c r="F35" i="1"/>
  <c r="G35" i="3"/>
  <c r="F35" i="3"/>
  <c r="L13" i="4"/>
  <c r="G35" i="2"/>
  <c r="F35" i="2"/>
  <c r="G35" i="4"/>
  <c r="L7" i="4" s="1"/>
  <c r="F35" i="4"/>
  <c r="L6" i="4" s="1"/>
  <c r="L18" i="4"/>
  <c r="G34" i="4"/>
  <c r="F34" i="4"/>
  <c r="F34" i="3"/>
  <c r="G34" i="3"/>
  <c r="G34" i="2"/>
  <c r="F34" i="2"/>
  <c r="G34" i="1"/>
  <c r="L8" i="4" l="1"/>
</calcChain>
</file>

<file path=xl/sharedStrings.xml><?xml version="1.0" encoding="utf-8"?>
<sst xmlns="http://schemas.openxmlformats.org/spreadsheetml/2006/main" count="596" uniqueCount="99">
  <si>
    <t>study_word</t>
  </si>
  <si>
    <t>test_word</t>
  </si>
  <si>
    <t>Reference</t>
  </si>
  <si>
    <t>cond</t>
  </si>
  <si>
    <t>textbox.text</t>
  </si>
  <si>
    <t>no.hit_P</t>
  </si>
  <si>
    <t>no.hit_NP</t>
  </si>
  <si>
    <t>Keys</t>
  </si>
  <si>
    <t>W_ll_t</t>
  </si>
  <si>
    <t>wallet</t>
  </si>
  <si>
    <t>non-prime</t>
  </si>
  <si>
    <t>otherword</t>
  </si>
  <si>
    <t>T-shirt</t>
  </si>
  <si>
    <t>v_s_</t>
  </si>
  <si>
    <t>vase</t>
  </si>
  <si>
    <t>Cruise</t>
  </si>
  <si>
    <t>T-_hi_t</t>
  </si>
  <si>
    <t>prime</t>
  </si>
  <si>
    <t>Mouse</t>
  </si>
  <si>
    <t>Tr_ck</t>
  </si>
  <si>
    <t>truck</t>
  </si>
  <si>
    <t>Poster</t>
  </si>
  <si>
    <t>ta_l_</t>
  </si>
  <si>
    <t>table</t>
  </si>
  <si>
    <t>Marble</t>
  </si>
  <si>
    <t>S_g_r</t>
  </si>
  <si>
    <t>sugar</t>
  </si>
  <si>
    <t>Cushion</t>
  </si>
  <si>
    <t>St_ve</t>
  </si>
  <si>
    <t>stove</t>
  </si>
  <si>
    <t>Laptop</t>
  </si>
  <si>
    <t>R_v_r</t>
  </si>
  <si>
    <t>river</t>
  </si>
  <si>
    <t>Book</t>
  </si>
  <si>
    <t>P_st_r</t>
  </si>
  <si>
    <t>poster</t>
  </si>
  <si>
    <t>P_li_e</t>
  </si>
  <si>
    <t>police</t>
  </si>
  <si>
    <t>Ph_n_</t>
  </si>
  <si>
    <t>phone</t>
  </si>
  <si>
    <t>p_nc_l</t>
  </si>
  <si>
    <t>pencil</t>
  </si>
  <si>
    <t>P_st_y</t>
  </si>
  <si>
    <t>pastry</t>
  </si>
  <si>
    <t>_ou_se</t>
  </si>
  <si>
    <t>mouse</t>
  </si>
  <si>
    <t>M_rr_r</t>
  </si>
  <si>
    <t>mirror</t>
  </si>
  <si>
    <t>M_rb_e</t>
  </si>
  <si>
    <t>marble</t>
  </si>
  <si>
    <t>L_pt_p</t>
  </si>
  <si>
    <t>laptop</t>
  </si>
  <si>
    <t>L_mp</t>
  </si>
  <si>
    <t>lamp</t>
  </si>
  <si>
    <t>K_y_</t>
  </si>
  <si>
    <t>keys</t>
  </si>
  <si>
    <t>Gl_ve</t>
  </si>
  <si>
    <t>glove</t>
  </si>
  <si>
    <t>Pastry</t>
  </si>
  <si>
    <t>C_sh_n</t>
  </si>
  <si>
    <t>cushion</t>
  </si>
  <si>
    <t>Cr_is_</t>
  </si>
  <si>
    <t>cruise</t>
  </si>
  <si>
    <t>Cl_ud</t>
  </si>
  <si>
    <t>cloud</t>
  </si>
  <si>
    <t>Board</t>
  </si>
  <si>
    <t>Cl_ck</t>
  </si>
  <si>
    <t>clock</t>
  </si>
  <si>
    <t>Phone</t>
  </si>
  <si>
    <t>_ha_t</t>
  </si>
  <si>
    <t>chart</t>
  </si>
  <si>
    <t>Police</t>
  </si>
  <si>
    <t>Ch_ir</t>
  </si>
  <si>
    <t>chair</t>
  </si>
  <si>
    <t>Chart</t>
  </si>
  <si>
    <t>C_s_</t>
  </si>
  <si>
    <t>case</t>
  </si>
  <si>
    <t>c_m_ra</t>
  </si>
  <si>
    <t>camera</t>
  </si>
  <si>
    <t>Basket</t>
  </si>
  <si>
    <t>bo_t_e</t>
  </si>
  <si>
    <t>bottle</t>
  </si>
  <si>
    <t>B_ok</t>
  </si>
  <si>
    <t>book</t>
  </si>
  <si>
    <t>Case</t>
  </si>
  <si>
    <t>B_rd</t>
  </si>
  <si>
    <t>board</t>
  </si>
  <si>
    <t>B_sk_t</t>
  </si>
  <si>
    <t>basket</t>
  </si>
  <si>
    <t>tshirt</t>
  </si>
  <si>
    <t>misspelled_vase</t>
  </si>
  <si>
    <t>Participant 1</t>
  </si>
  <si>
    <t>Prop of hit from study list</t>
  </si>
  <si>
    <t>Prop  of hit from non-prime words</t>
  </si>
  <si>
    <t>prime score</t>
  </si>
  <si>
    <t>Participant 2</t>
  </si>
  <si>
    <t>Participant 3</t>
  </si>
  <si>
    <t>Participant 4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</si>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</sst>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0" borderId="2" xfId="0" applyFont="1" applyBorder="1"/>
    <xf numFmtId="0" fontId="0" fillId="0" borderId="2" xfId="0" applyBorder="1"/>
    <xf numFmtId="0" fontId="1" fillId="3" borderId="2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6DDC-BA95-4A7C-A0EC-A0B9BB974233}">
  <dimension ref="A1:L35"/>
  <sheetViews>
    <sheetView tabSelected="1" topLeftCell="A20" workbookViewId="0">
      <selection activeCell="M31" sqref="M31"/>
    </sheetView>
  </sheetViews>
  <sheetFormatPr defaultRowHeight="14.5" x14ac:dyDescent="0.35"/>
  <cols>
    <col min="11" max="11" width="27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35">
      <c r="A2" t="s">
        <v>30</v>
      </c>
      <c r="B2" t="s">
        <v>50</v>
      </c>
      <c r="C2" t="s">
        <v>51</v>
      </c>
      <c r="D2" t="s">
        <v>17</v>
      </c>
      <c r="E2" t="s">
        <v>51</v>
      </c>
      <c r="F2">
        <v>1</v>
      </c>
    </row>
    <row r="3" spans="1:12" x14ac:dyDescent="0.35">
      <c r="A3" t="s">
        <v>15</v>
      </c>
      <c r="B3" t="s">
        <v>42</v>
      </c>
      <c r="C3" t="s">
        <v>43</v>
      </c>
      <c r="D3" t="s">
        <v>17</v>
      </c>
      <c r="E3" t="s">
        <v>43</v>
      </c>
      <c r="F3">
        <v>1</v>
      </c>
    </row>
    <row r="4" spans="1:12" x14ac:dyDescent="0.35">
      <c r="A4" t="s">
        <v>27</v>
      </c>
      <c r="B4" t="s">
        <v>75</v>
      </c>
      <c r="C4" t="s">
        <v>76</v>
      </c>
      <c r="D4" t="s">
        <v>17</v>
      </c>
      <c r="E4" t="s">
        <v>76</v>
      </c>
      <c r="F4">
        <v>1</v>
      </c>
    </row>
    <row r="5" spans="1:12" x14ac:dyDescent="0.35">
      <c r="A5" t="s">
        <v>12</v>
      </c>
      <c r="B5" t="s">
        <v>54</v>
      </c>
      <c r="C5" t="s">
        <v>55</v>
      </c>
      <c r="D5" t="s">
        <v>17</v>
      </c>
      <c r="E5" t="s">
        <v>55</v>
      </c>
      <c r="F5">
        <v>1</v>
      </c>
      <c r="K5" s="2" t="s">
        <v>91</v>
      </c>
      <c r="L5" s="3"/>
    </row>
    <row r="6" spans="1:12" x14ac:dyDescent="0.35">
      <c r="A6" t="s">
        <v>74</v>
      </c>
      <c r="B6" t="s">
        <v>82</v>
      </c>
      <c r="C6" t="s">
        <v>83</v>
      </c>
      <c r="D6" t="s">
        <v>17</v>
      </c>
      <c r="E6" t="s">
        <v>83</v>
      </c>
      <c r="F6">
        <v>1</v>
      </c>
      <c r="K6" s="4" t="s">
        <v>92</v>
      </c>
      <c r="L6" s="3">
        <f>F35</f>
        <v>1</v>
      </c>
    </row>
    <row r="7" spans="1:12" x14ac:dyDescent="0.35">
      <c r="A7" t="s">
        <v>84</v>
      </c>
      <c r="B7" t="s">
        <v>25</v>
      </c>
      <c r="C7" t="s">
        <v>26</v>
      </c>
      <c r="D7" t="s">
        <v>10</v>
      </c>
      <c r="G7">
        <v>0</v>
      </c>
      <c r="K7" s="4" t="s">
        <v>93</v>
      </c>
      <c r="L7" s="3">
        <f>G35</f>
        <v>0.625</v>
      </c>
    </row>
    <row r="8" spans="1:12" x14ac:dyDescent="0.35">
      <c r="A8" t="s">
        <v>33</v>
      </c>
      <c r="B8" t="s">
        <v>72</v>
      </c>
      <c r="C8" t="s">
        <v>73</v>
      </c>
      <c r="D8" t="s">
        <v>10</v>
      </c>
      <c r="E8" t="s">
        <v>73</v>
      </c>
      <c r="G8">
        <v>1</v>
      </c>
      <c r="K8" s="5" t="s">
        <v>94</v>
      </c>
      <c r="L8" s="3">
        <f>L6-L7</f>
        <v>0.375</v>
      </c>
    </row>
    <row r="9" spans="1:12" x14ac:dyDescent="0.35">
      <c r="A9" t="s">
        <v>18</v>
      </c>
      <c r="B9" t="s">
        <v>87</v>
      </c>
      <c r="C9" t="s">
        <v>88</v>
      </c>
      <c r="D9" t="s">
        <v>17</v>
      </c>
      <c r="E9" t="s">
        <v>88</v>
      </c>
      <c r="F9">
        <v>1</v>
      </c>
    </row>
    <row r="10" spans="1:12" x14ac:dyDescent="0.35">
      <c r="A10" t="s">
        <v>7</v>
      </c>
      <c r="B10" t="s">
        <v>77</v>
      </c>
      <c r="C10" t="s">
        <v>78</v>
      </c>
      <c r="D10" t="s">
        <v>10</v>
      </c>
      <c r="E10" t="s">
        <v>78</v>
      </c>
      <c r="G10">
        <v>1</v>
      </c>
      <c r="K10" s="2" t="s">
        <v>95</v>
      </c>
      <c r="L10" s="3"/>
    </row>
    <row r="11" spans="1:12" x14ac:dyDescent="0.35">
      <c r="A11" t="s">
        <v>58</v>
      </c>
      <c r="B11" t="s">
        <v>56</v>
      </c>
      <c r="C11" t="s">
        <v>57</v>
      </c>
      <c r="D11" t="s">
        <v>10</v>
      </c>
      <c r="E11" t="s">
        <v>57</v>
      </c>
      <c r="G11">
        <v>1</v>
      </c>
      <c r="K11" s="4" t="s">
        <v>92</v>
      </c>
      <c r="L11" s="3">
        <v>0.81200000000000006</v>
      </c>
    </row>
    <row r="12" spans="1:12" x14ac:dyDescent="0.35">
      <c r="A12" t="s">
        <v>21</v>
      </c>
      <c r="B12" t="s">
        <v>85</v>
      </c>
      <c r="C12" t="s">
        <v>86</v>
      </c>
      <c r="D12" t="s">
        <v>17</v>
      </c>
      <c r="E12" t="s">
        <v>86</v>
      </c>
      <c r="F12">
        <v>1</v>
      </c>
      <c r="K12" s="4" t="s">
        <v>93</v>
      </c>
      <c r="L12" s="3">
        <v>0.5</v>
      </c>
    </row>
    <row r="13" spans="1:12" x14ac:dyDescent="0.35">
      <c r="A13" t="s">
        <v>71</v>
      </c>
      <c r="B13" t="s">
        <v>19</v>
      </c>
      <c r="C13" t="s">
        <v>20</v>
      </c>
      <c r="D13" t="s">
        <v>10</v>
      </c>
      <c r="E13" t="s">
        <v>20</v>
      </c>
      <c r="G13">
        <v>1</v>
      </c>
      <c r="K13" s="5" t="s">
        <v>94</v>
      </c>
      <c r="L13" s="3">
        <f>L11-L12</f>
        <v>0.31200000000000006</v>
      </c>
    </row>
    <row r="14" spans="1:12" x14ac:dyDescent="0.35">
      <c r="A14" t="s">
        <v>24</v>
      </c>
      <c r="B14" t="s">
        <v>31</v>
      </c>
      <c r="C14" t="s">
        <v>32</v>
      </c>
      <c r="D14" t="s">
        <v>10</v>
      </c>
      <c r="E14" t="s">
        <v>32</v>
      </c>
      <c r="G14">
        <v>1</v>
      </c>
      <c r="K14" s="6"/>
      <c r="L14" s="6"/>
    </row>
    <row r="15" spans="1:12" x14ac:dyDescent="0.35">
      <c r="A15" t="s">
        <v>68</v>
      </c>
      <c r="B15" t="s">
        <v>22</v>
      </c>
      <c r="C15" t="s">
        <v>23</v>
      </c>
      <c r="D15" t="s">
        <v>10</v>
      </c>
      <c r="E15" t="s">
        <v>11</v>
      </c>
      <c r="G15">
        <v>0</v>
      </c>
      <c r="K15" s="2" t="s">
        <v>96</v>
      </c>
      <c r="L15" s="3"/>
    </row>
    <row r="16" spans="1:12" x14ac:dyDescent="0.35">
      <c r="A16" t="s">
        <v>65</v>
      </c>
      <c r="B16" t="s">
        <v>38</v>
      </c>
      <c r="C16" t="s">
        <v>39</v>
      </c>
      <c r="D16" t="s">
        <v>17</v>
      </c>
      <c r="E16" t="s">
        <v>39</v>
      </c>
      <c r="F16">
        <v>1</v>
      </c>
      <c r="K16" s="4" t="s">
        <v>92</v>
      </c>
      <c r="L16" s="3">
        <v>0.93700000000000006</v>
      </c>
    </row>
    <row r="17" spans="1:12" x14ac:dyDescent="0.35">
      <c r="A17" t="s">
        <v>79</v>
      </c>
      <c r="B17" t="s">
        <v>16</v>
      </c>
      <c r="C17" t="s">
        <v>12</v>
      </c>
      <c r="D17" t="s">
        <v>17</v>
      </c>
      <c r="E17" t="s">
        <v>12</v>
      </c>
      <c r="F17">
        <v>1</v>
      </c>
      <c r="K17" s="4" t="s">
        <v>93</v>
      </c>
      <c r="L17" s="3">
        <v>0.56200000000000006</v>
      </c>
    </row>
    <row r="18" spans="1:12" x14ac:dyDescent="0.35">
      <c r="B18" t="s">
        <v>61</v>
      </c>
      <c r="C18" t="s">
        <v>62</v>
      </c>
      <c r="D18" t="s">
        <v>17</v>
      </c>
      <c r="E18" t="s">
        <v>62</v>
      </c>
      <c r="F18">
        <v>1</v>
      </c>
      <c r="K18" s="5" t="s">
        <v>94</v>
      </c>
      <c r="L18" s="3">
        <f>L16-L17</f>
        <v>0.375</v>
      </c>
    </row>
    <row r="19" spans="1:12" x14ac:dyDescent="0.35">
      <c r="B19" t="s">
        <v>44</v>
      </c>
      <c r="C19" t="s">
        <v>45</v>
      </c>
      <c r="D19" t="s">
        <v>17</v>
      </c>
      <c r="E19" t="s">
        <v>45</v>
      </c>
      <c r="F19">
        <v>1</v>
      </c>
      <c r="K19" s="6"/>
      <c r="L19" s="6"/>
    </row>
    <row r="20" spans="1:12" x14ac:dyDescent="0.35">
      <c r="B20" t="s">
        <v>59</v>
      </c>
      <c r="C20" t="s">
        <v>60</v>
      </c>
      <c r="D20" t="s">
        <v>17</v>
      </c>
      <c r="E20" t="s">
        <v>60</v>
      </c>
      <c r="F20">
        <v>1</v>
      </c>
      <c r="K20" s="2" t="s">
        <v>97</v>
      </c>
      <c r="L20" s="3"/>
    </row>
    <row r="21" spans="1:12" x14ac:dyDescent="0.35">
      <c r="B21" t="s">
        <v>66</v>
      </c>
      <c r="C21" t="s">
        <v>67</v>
      </c>
      <c r="D21" t="s">
        <v>10</v>
      </c>
      <c r="E21" t="s">
        <v>67</v>
      </c>
      <c r="G21">
        <v>1</v>
      </c>
      <c r="K21" s="4" t="s">
        <v>92</v>
      </c>
      <c r="L21" s="3">
        <v>0.875</v>
      </c>
    </row>
    <row r="22" spans="1:12" x14ac:dyDescent="0.35">
      <c r="B22" t="s">
        <v>80</v>
      </c>
      <c r="C22" t="s">
        <v>81</v>
      </c>
      <c r="D22" t="s">
        <v>10</v>
      </c>
      <c r="E22" t="s">
        <v>81</v>
      </c>
      <c r="G22">
        <v>1</v>
      </c>
      <c r="K22" s="4" t="s">
        <v>93</v>
      </c>
      <c r="L22" s="3">
        <v>0.56200000000000006</v>
      </c>
    </row>
    <row r="23" spans="1:12" x14ac:dyDescent="0.35">
      <c r="B23" t="s">
        <v>46</v>
      </c>
      <c r="C23" t="s">
        <v>47</v>
      </c>
      <c r="D23" t="s">
        <v>10</v>
      </c>
      <c r="E23" t="s">
        <v>47</v>
      </c>
      <c r="G23">
        <v>1</v>
      </c>
      <c r="K23" s="5" t="s">
        <v>94</v>
      </c>
      <c r="L23" s="3">
        <f>L21-L22</f>
        <v>0.31299999999999994</v>
      </c>
    </row>
    <row r="24" spans="1:12" x14ac:dyDescent="0.35">
      <c r="B24" t="s">
        <v>63</v>
      </c>
      <c r="C24" t="s">
        <v>64</v>
      </c>
      <c r="D24" t="s">
        <v>10</v>
      </c>
      <c r="E24" t="s">
        <v>64</v>
      </c>
      <c r="G24">
        <v>1</v>
      </c>
    </row>
    <row r="25" spans="1:12" x14ac:dyDescent="0.35">
      <c r="B25" t="s">
        <v>69</v>
      </c>
      <c r="C25" t="s">
        <v>70</v>
      </c>
      <c r="D25" t="s">
        <v>17</v>
      </c>
      <c r="E25" t="s">
        <v>70</v>
      </c>
      <c r="F25">
        <v>1</v>
      </c>
      <c r="K25" s="6" t="s">
        <v>98</v>
      </c>
    </row>
    <row r="26" spans="1:12" x14ac:dyDescent="0.35">
      <c r="B26" t="s">
        <v>48</v>
      </c>
      <c r="C26" t="s">
        <v>49</v>
      </c>
      <c r="D26" t="s">
        <v>17</v>
      </c>
      <c r="E26" t="s">
        <v>49</v>
      </c>
      <c r="F26">
        <v>1</v>
      </c>
      <c r="K26" s="4" t="s">
        <v>92</v>
      </c>
      <c r="L26" s="3">
        <f>AVERAGE(L21,L16,L11,L6)</f>
        <v>0.90600000000000003</v>
      </c>
    </row>
    <row r="27" spans="1:12" x14ac:dyDescent="0.35">
      <c r="B27" t="s">
        <v>8</v>
      </c>
      <c r="C27" t="s">
        <v>9</v>
      </c>
      <c r="D27" t="s">
        <v>10</v>
      </c>
      <c r="E27" t="s">
        <v>11</v>
      </c>
      <c r="G27">
        <v>0</v>
      </c>
      <c r="K27" s="4" t="s">
        <v>93</v>
      </c>
      <c r="L27" s="3">
        <f>AVERAGE(L22,L17,L12,L7,)</f>
        <v>0.44980000000000003</v>
      </c>
    </row>
    <row r="28" spans="1:12" x14ac:dyDescent="0.35">
      <c r="B28" t="s">
        <v>13</v>
      </c>
      <c r="C28" t="s">
        <v>14</v>
      </c>
      <c r="D28" t="s">
        <v>10</v>
      </c>
      <c r="E28" t="s">
        <v>90</v>
      </c>
      <c r="G28">
        <v>0</v>
      </c>
      <c r="K28" s="5" t="s">
        <v>94</v>
      </c>
      <c r="L28" s="3">
        <f>L26-L27</f>
        <v>0.45619999999999999</v>
      </c>
    </row>
    <row r="29" spans="1:12" x14ac:dyDescent="0.35">
      <c r="B29" t="s">
        <v>34</v>
      </c>
      <c r="C29" t="s">
        <v>35</v>
      </c>
      <c r="D29" t="s">
        <v>17</v>
      </c>
      <c r="E29" t="s">
        <v>35</v>
      </c>
      <c r="F29">
        <v>1</v>
      </c>
    </row>
    <row r="30" spans="1:12" x14ac:dyDescent="0.35">
      <c r="B30" t="s">
        <v>40</v>
      </c>
      <c r="C30" t="s">
        <v>41</v>
      </c>
      <c r="D30" t="s">
        <v>10</v>
      </c>
      <c r="E30" t="s">
        <v>11</v>
      </c>
      <c r="G30">
        <v>0</v>
      </c>
    </row>
    <row r="31" spans="1:12" x14ac:dyDescent="0.35">
      <c r="B31" t="s">
        <v>36</v>
      </c>
      <c r="C31" t="s">
        <v>37</v>
      </c>
      <c r="D31" t="s">
        <v>17</v>
      </c>
      <c r="E31" t="s">
        <v>37</v>
      </c>
      <c r="F31">
        <v>1</v>
      </c>
    </row>
    <row r="32" spans="1:12" x14ac:dyDescent="0.35">
      <c r="B32" t="s">
        <v>52</v>
      </c>
      <c r="C32" t="s">
        <v>53</v>
      </c>
      <c r="D32" t="s">
        <v>10</v>
      </c>
      <c r="E32" t="s">
        <v>53</v>
      </c>
      <c r="G32">
        <v>1</v>
      </c>
    </row>
    <row r="33" spans="1:7" x14ac:dyDescent="0.35">
      <c r="B33" t="s">
        <v>28</v>
      </c>
      <c r="C33" t="s">
        <v>29</v>
      </c>
      <c r="D33" t="s">
        <v>10</v>
      </c>
      <c r="G33">
        <v>0</v>
      </c>
    </row>
    <row r="34" spans="1:7" x14ac:dyDescent="0.35">
      <c r="A34" s="1"/>
      <c r="B34" s="1"/>
      <c r="C34" s="1"/>
      <c r="D34" s="1"/>
      <c r="E34" s="1"/>
      <c r="F34" s="1">
        <f>SUM(F2:F33)</f>
        <v>16</v>
      </c>
      <c r="G34" s="1">
        <f>SUM(G2:G33)</f>
        <v>10</v>
      </c>
    </row>
    <row r="35" spans="1:7" x14ac:dyDescent="0.35">
      <c r="F35">
        <f>F34/16</f>
        <v>1</v>
      </c>
      <c r="G35">
        <f>G34/16</f>
        <v>0.625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0A49-99CD-4341-BEB5-E9081D804A14}">
  <dimension ref="A1:G35"/>
  <sheetViews>
    <sheetView topLeftCell="A25" workbookViewId="0">
      <selection activeCell="F37" sqref="F3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79</v>
      </c>
      <c r="B2" t="s">
        <v>87</v>
      </c>
      <c r="C2" t="s">
        <v>88</v>
      </c>
      <c r="D2" t="s">
        <v>17</v>
      </c>
      <c r="E2" t="s">
        <v>88</v>
      </c>
      <c r="F2">
        <v>1</v>
      </c>
    </row>
    <row r="3" spans="1:7" x14ac:dyDescent="0.35">
      <c r="A3" t="s">
        <v>33</v>
      </c>
      <c r="B3" t="s">
        <v>85</v>
      </c>
      <c r="C3" t="s">
        <v>86</v>
      </c>
      <c r="D3" t="s">
        <v>17</v>
      </c>
      <c r="F3">
        <v>0</v>
      </c>
    </row>
    <row r="4" spans="1:7" x14ac:dyDescent="0.35">
      <c r="A4" t="s">
        <v>7</v>
      </c>
      <c r="B4" t="s">
        <v>82</v>
      </c>
      <c r="C4" t="s">
        <v>83</v>
      </c>
      <c r="D4" t="s">
        <v>17</v>
      </c>
      <c r="E4" t="s">
        <v>83</v>
      </c>
      <c r="F4">
        <v>1</v>
      </c>
    </row>
    <row r="5" spans="1:7" x14ac:dyDescent="0.35">
      <c r="A5" t="s">
        <v>24</v>
      </c>
      <c r="B5" t="s">
        <v>80</v>
      </c>
      <c r="C5" t="s">
        <v>81</v>
      </c>
      <c r="D5" t="s">
        <v>10</v>
      </c>
      <c r="E5" t="s">
        <v>81</v>
      </c>
      <c r="G5">
        <v>1</v>
      </c>
    </row>
    <row r="6" spans="1:7" x14ac:dyDescent="0.35">
      <c r="A6" t="s">
        <v>18</v>
      </c>
      <c r="B6" t="s">
        <v>77</v>
      </c>
      <c r="C6" t="s">
        <v>78</v>
      </c>
      <c r="D6" t="s">
        <v>10</v>
      </c>
      <c r="G6">
        <v>0</v>
      </c>
    </row>
    <row r="7" spans="1:7" x14ac:dyDescent="0.35">
      <c r="A7" t="s">
        <v>21</v>
      </c>
      <c r="B7" t="s">
        <v>75</v>
      </c>
      <c r="C7" t="s">
        <v>76</v>
      </c>
      <c r="D7" t="s">
        <v>17</v>
      </c>
      <c r="E7" t="s">
        <v>76</v>
      </c>
      <c r="F7">
        <v>1</v>
      </c>
    </row>
    <row r="8" spans="1:7" x14ac:dyDescent="0.35">
      <c r="A8" t="s">
        <v>74</v>
      </c>
      <c r="B8" t="s">
        <v>72</v>
      </c>
      <c r="C8" t="s">
        <v>73</v>
      </c>
      <c r="D8" t="s">
        <v>10</v>
      </c>
      <c r="G8">
        <v>0</v>
      </c>
    </row>
    <row r="9" spans="1:7" x14ac:dyDescent="0.35">
      <c r="A9" t="s">
        <v>27</v>
      </c>
      <c r="B9" t="s">
        <v>69</v>
      </c>
      <c r="C9" t="s">
        <v>70</v>
      </c>
      <c r="D9" t="s">
        <v>17</v>
      </c>
      <c r="E9" t="s">
        <v>70</v>
      </c>
      <c r="F9">
        <v>1</v>
      </c>
    </row>
    <row r="10" spans="1:7" x14ac:dyDescent="0.35">
      <c r="A10" t="s">
        <v>84</v>
      </c>
      <c r="B10" t="s">
        <v>66</v>
      </c>
      <c r="C10" t="s">
        <v>67</v>
      </c>
      <c r="D10" t="s">
        <v>10</v>
      </c>
      <c r="E10" t="s">
        <v>67</v>
      </c>
      <c r="G10">
        <v>1</v>
      </c>
    </row>
    <row r="11" spans="1:7" x14ac:dyDescent="0.35">
      <c r="A11" t="s">
        <v>15</v>
      </c>
      <c r="B11" t="s">
        <v>63</v>
      </c>
      <c r="C11" t="s">
        <v>64</v>
      </c>
      <c r="D11" t="s">
        <v>10</v>
      </c>
      <c r="G11">
        <v>0</v>
      </c>
    </row>
    <row r="12" spans="1:7" x14ac:dyDescent="0.35">
      <c r="A12" t="s">
        <v>58</v>
      </c>
      <c r="B12" t="s">
        <v>61</v>
      </c>
      <c r="C12" t="s">
        <v>62</v>
      </c>
      <c r="D12" t="s">
        <v>17</v>
      </c>
      <c r="E12" t="s">
        <v>62</v>
      </c>
      <c r="F12">
        <v>1</v>
      </c>
    </row>
    <row r="13" spans="1:7" x14ac:dyDescent="0.35">
      <c r="A13" t="s">
        <v>30</v>
      </c>
      <c r="B13" t="s">
        <v>59</v>
      </c>
      <c r="C13" t="s">
        <v>60</v>
      </c>
      <c r="D13" t="s">
        <v>17</v>
      </c>
      <c r="E13" t="s">
        <v>60</v>
      </c>
      <c r="F13">
        <v>1</v>
      </c>
    </row>
    <row r="14" spans="1:7" x14ac:dyDescent="0.35">
      <c r="A14" t="s">
        <v>71</v>
      </c>
      <c r="B14" t="s">
        <v>56</v>
      </c>
      <c r="C14" t="s">
        <v>57</v>
      </c>
      <c r="D14" t="s">
        <v>10</v>
      </c>
      <c r="E14" t="s">
        <v>57</v>
      </c>
      <c r="G14">
        <v>1</v>
      </c>
    </row>
    <row r="15" spans="1:7" x14ac:dyDescent="0.35">
      <c r="A15" t="s">
        <v>65</v>
      </c>
      <c r="B15" t="s">
        <v>54</v>
      </c>
      <c r="C15" t="s">
        <v>55</v>
      </c>
      <c r="D15" t="s">
        <v>17</v>
      </c>
      <c r="E15" t="s">
        <v>55</v>
      </c>
      <c r="F15">
        <v>1</v>
      </c>
    </row>
    <row r="16" spans="1:7" x14ac:dyDescent="0.35">
      <c r="A16" t="s">
        <v>12</v>
      </c>
      <c r="B16" t="s">
        <v>52</v>
      </c>
      <c r="C16" t="s">
        <v>53</v>
      </c>
      <c r="D16" t="s">
        <v>10</v>
      </c>
      <c r="E16" t="s">
        <v>53</v>
      </c>
      <c r="G16">
        <v>1</v>
      </c>
    </row>
    <row r="17" spans="1:7" x14ac:dyDescent="0.35">
      <c r="A17" t="s">
        <v>68</v>
      </c>
      <c r="B17" t="s">
        <v>50</v>
      </c>
      <c r="C17" t="s">
        <v>51</v>
      </c>
      <c r="D17" t="s">
        <v>17</v>
      </c>
      <c r="E17" t="s">
        <v>51</v>
      </c>
      <c r="F17">
        <v>1</v>
      </c>
    </row>
    <row r="18" spans="1:7" x14ac:dyDescent="0.35">
      <c r="B18" t="s">
        <v>48</v>
      </c>
      <c r="C18" t="s">
        <v>49</v>
      </c>
      <c r="D18" t="s">
        <v>17</v>
      </c>
      <c r="F18">
        <v>0</v>
      </c>
    </row>
    <row r="19" spans="1:7" x14ac:dyDescent="0.35">
      <c r="B19" t="s">
        <v>46</v>
      </c>
      <c r="C19" t="s">
        <v>47</v>
      </c>
      <c r="D19" t="s">
        <v>10</v>
      </c>
      <c r="G19">
        <v>0</v>
      </c>
    </row>
    <row r="20" spans="1:7" x14ac:dyDescent="0.35">
      <c r="B20" t="s">
        <v>44</v>
      </c>
      <c r="C20" t="s">
        <v>45</v>
      </c>
      <c r="D20" t="s">
        <v>17</v>
      </c>
      <c r="E20" t="s">
        <v>45</v>
      </c>
      <c r="F20">
        <v>1</v>
      </c>
    </row>
    <row r="21" spans="1:7" x14ac:dyDescent="0.35">
      <c r="B21" t="s">
        <v>42</v>
      </c>
      <c r="C21" t="s">
        <v>43</v>
      </c>
      <c r="D21" t="s">
        <v>17</v>
      </c>
      <c r="F21">
        <v>0</v>
      </c>
    </row>
    <row r="22" spans="1:7" x14ac:dyDescent="0.35">
      <c r="B22" t="s">
        <v>40</v>
      </c>
      <c r="C22" t="s">
        <v>41</v>
      </c>
      <c r="D22" t="s">
        <v>10</v>
      </c>
      <c r="E22" t="s">
        <v>41</v>
      </c>
      <c r="G22">
        <v>1</v>
      </c>
    </row>
    <row r="23" spans="1:7" x14ac:dyDescent="0.35">
      <c r="B23" t="s">
        <v>38</v>
      </c>
      <c r="C23" t="s">
        <v>39</v>
      </c>
      <c r="D23" t="s">
        <v>17</v>
      </c>
      <c r="E23" t="s">
        <v>39</v>
      </c>
      <c r="F23">
        <v>1</v>
      </c>
    </row>
    <row r="24" spans="1:7" x14ac:dyDescent="0.35">
      <c r="B24" t="s">
        <v>36</v>
      </c>
      <c r="C24" t="s">
        <v>37</v>
      </c>
      <c r="D24" t="s">
        <v>17</v>
      </c>
      <c r="E24" t="s">
        <v>37</v>
      </c>
      <c r="F24">
        <v>1</v>
      </c>
    </row>
    <row r="25" spans="1:7" x14ac:dyDescent="0.35">
      <c r="B25" t="s">
        <v>34</v>
      </c>
      <c r="C25" t="s">
        <v>35</v>
      </c>
      <c r="D25" t="s">
        <v>17</v>
      </c>
      <c r="E25" t="s">
        <v>35</v>
      </c>
      <c r="F25">
        <v>1</v>
      </c>
    </row>
    <row r="26" spans="1:7" x14ac:dyDescent="0.35">
      <c r="B26" t="s">
        <v>31</v>
      </c>
      <c r="C26" t="s">
        <v>32</v>
      </c>
      <c r="D26" t="s">
        <v>10</v>
      </c>
      <c r="E26" t="s">
        <v>32</v>
      </c>
      <c r="G26">
        <v>1</v>
      </c>
    </row>
    <row r="27" spans="1:7" x14ac:dyDescent="0.35">
      <c r="B27" t="s">
        <v>28</v>
      </c>
      <c r="C27" t="s">
        <v>29</v>
      </c>
      <c r="D27" t="s">
        <v>10</v>
      </c>
      <c r="G27">
        <v>0</v>
      </c>
    </row>
    <row r="28" spans="1:7" x14ac:dyDescent="0.35">
      <c r="B28" t="s">
        <v>25</v>
      </c>
      <c r="C28" t="s">
        <v>26</v>
      </c>
      <c r="D28" t="s">
        <v>10</v>
      </c>
      <c r="G28">
        <v>0</v>
      </c>
    </row>
    <row r="29" spans="1:7" x14ac:dyDescent="0.35">
      <c r="B29" t="s">
        <v>22</v>
      </c>
      <c r="C29" t="s">
        <v>23</v>
      </c>
      <c r="D29" t="s">
        <v>10</v>
      </c>
      <c r="G29">
        <v>0</v>
      </c>
    </row>
    <row r="30" spans="1:7" x14ac:dyDescent="0.35">
      <c r="B30" t="s">
        <v>19</v>
      </c>
      <c r="C30" t="s">
        <v>20</v>
      </c>
      <c r="D30" t="s">
        <v>10</v>
      </c>
      <c r="G30">
        <v>0</v>
      </c>
    </row>
    <row r="31" spans="1:7" x14ac:dyDescent="0.35">
      <c r="B31" t="s">
        <v>16</v>
      </c>
      <c r="C31" t="s">
        <v>12</v>
      </c>
      <c r="D31" t="s">
        <v>17</v>
      </c>
      <c r="E31" t="s">
        <v>12</v>
      </c>
      <c r="F31">
        <v>1</v>
      </c>
    </row>
    <row r="32" spans="1:7" x14ac:dyDescent="0.35">
      <c r="B32" t="s">
        <v>13</v>
      </c>
      <c r="C32" t="s">
        <v>14</v>
      </c>
      <c r="D32" t="s">
        <v>10</v>
      </c>
      <c r="E32" t="s">
        <v>14</v>
      </c>
      <c r="G32">
        <v>1</v>
      </c>
    </row>
    <row r="33" spans="1:7" x14ac:dyDescent="0.35">
      <c r="B33" t="s">
        <v>8</v>
      </c>
      <c r="C33" t="s">
        <v>9</v>
      </c>
      <c r="D33" t="s">
        <v>10</v>
      </c>
      <c r="E33" t="s">
        <v>9</v>
      </c>
      <c r="G33">
        <v>1</v>
      </c>
    </row>
    <row r="34" spans="1:7" x14ac:dyDescent="0.35">
      <c r="A34" s="1"/>
      <c r="B34" s="1"/>
      <c r="C34" s="1"/>
      <c r="D34" s="1"/>
      <c r="E34" s="1"/>
      <c r="F34" s="1">
        <f>SUM(F2:F33)</f>
        <v>13</v>
      </c>
      <c r="G34" s="1">
        <f>SUM(G2:G33)</f>
        <v>8</v>
      </c>
    </row>
    <row r="35" spans="1:7" x14ac:dyDescent="0.35">
      <c r="F35">
        <f>F34/16</f>
        <v>0.8125</v>
      </c>
      <c r="G35">
        <f>G34/16</f>
        <v>0.5</v>
      </c>
    </row>
  </sheetData>
  <autoFilter ref="A1:G34" xr:uid="{FAD00A49-99CD-4341-BEB5-E9081D804A14}">
    <sortState xmlns:xlrd2="http://schemas.microsoft.com/office/spreadsheetml/2017/richdata2" ref="A2:G34">
      <sortCondition ref="C1:C3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AB8C-D821-4BE7-9BFB-F501FCF0AC1F}">
  <dimension ref="A1:G35"/>
  <sheetViews>
    <sheetView topLeftCell="A25" workbookViewId="0">
      <selection activeCell="G36" sqref="G3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>
        <v>0</v>
      </c>
    </row>
    <row r="3" spans="1:7" x14ac:dyDescent="0.35">
      <c r="A3" t="s">
        <v>12</v>
      </c>
      <c r="B3" t="s">
        <v>13</v>
      </c>
      <c r="C3" t="s">
        <v>14</v>
      </c>
      <c r="D3" t="s">
        <v>10</v>
      </c>
      <c r="E3" t="s">
        <v>14</v>
      </c>
      <c r="G3">
        <v>1</v>
      </c>
    </row>
    <row r="4" spans="1:7" x14ac:dyDescent="0.35">
      <c r="A4" t="s">
        <v>15</v>
      </c>
      <c r="B4" t="s">
        <v>16</v>
      </c>
      <c r="C4" t="s">
        <v>12</v>
      </c>
      <c r="D4" t="s">
        <v>17</v>
      </c>
      <c r="E4" t="s">
        <v>89</v>
      </c>
      <c r="F4">
        <v>1</v>
      </c>
    </row>
    <row r="5" spans="1:7" x14ac:dyDescent="0.35">
      <c r="A5" t="s">
        <v>18</v>
      </c>
      <c r="B5" t="s">
        <v>19</v>
      </c>
      <c r="C5" t="s">
        <v>20</v>
      </c>
      <c r="D5" t="s">
        <v>10</v>
      </c>
      <c r="E5" t="s">
        <v>20</v>
      </c>
      <c r="G5">
        <v>1</v>
      </c>
    </row>
    <row r="6" spans="1:7" x14ac:dyDescent="0.35">
      <c r="A6" t="s">
        <v>21</v>
      </c>
      <c r="B6" t="s">
        <v>22</v>
      </c>
      <c r="C6" t="s">
        <v>23</v>
      </c>
      <c r="D6" t="s">
        <v>10</v>
      </c>
      <c r="E6" t="s">
        <v>23</v>
      </c>
      <c r="G6">
        <v>1</v>
      </c>
    </row>
    <row r="7" spans="1:7" x14ac:dyDescent="0.35">
      <c r="A7" t="s">
        <v>58</v>
      </c>
      <c r="B7" t="s">
        <v>25</v>
      </c>
      <c r="C7" t="s">
        <v>26</v>
      </c>
      <c r="D7" t="s">
        <v>10</v>
      </c>
      <c r="G7">
        <v>0</v>
      </c>
    </row>
    <row r="8" spans="1:7" x14ac:dyDescent="0.35">
      <c r="A8" t="s">
        <v>24</v>
      </c>
      <c r="B8" t="s">
        <v>28</v>
      </c>
      <c r="C8" t="s">
        <v>29</v>
      </c>
      <c r="D8" t="s">
        <v>10</v>
      </c>
      <c r="E8" t="s">
        <v>29</v>
      </c>
      <c r="G8">
        <v>1</v>
      </c>
    </row>
    <row r="9" spans="1:7" x14ac:dyDescent="0.35">
      <c r="A9" t="s">
        <v>27</v>
      </c>
      <c r="B9" t="s">
        <v>31</v>
      </c>
      <c r="C9" t="s">
        <v>32</v>
      </c>
      <c r="D9" t="s">
        <v>10</v>
      </c>
      <c r="E9" t="s">
        <v>32</v>
      </c>
      <c r="G9">
        <v>1</v>
      </c>
    </row>
    <row r="10" spans="1:7" x14ac:dyDescent="0.35">
      <c r="A10" t="s">
        <v>30</v>
      </c>
      <c r="B10" t="s">
        <v>34</v>
      </c>
      <c r="C10" t="s">
        <v>35</v>
      </c>
      <c r="D10" t="s">
        <v>17</v>
      </c>
      <c r="E10" t="s">
        <v>35</v>
      </c>
      <c r="F10">
        <v>1</v>
      </c>
    </row>
    <row r="11" spans="1:7" x14ac:dyDescent="0.35">
      <c r="A11" t="s">
        <v>33</v>
      </c>
      <c r="B11" t="s">
        <v>36</v>
      </c>
      <c r="C11" t="s">
        <v>37</v>
      </c>
      <c r="D11" t="s">
        <v>17</v>
      </c>
      <c r="E11" t="s">
        <v>37</v>
      </c>
      <c r="F11">
        <v>1</v>
      </c>
    </row>
    <row r="12" spans="1:7" x14ac:dyDescent="0.35">
      <c r="A12" t="s">
        <v>65</v>
      </c>
      <c r="B12" t="s">
        <v>38</v>
      </c>
      <c r="C12" t="s">
        <v>39</v>
      </c>
      <c r="D12" t="s">
        <v>17</v>
      </c>
      <c r="E12" t="s">
        <v>39</v>
      </c>
      <c r="F12">
        <v>1</v>
      </c>
    </row>
    <row r="13" spans="1:7" x14ac:dyDescent="0.35">
      <c r="A13" t="s">
        <v>68</v>
      </c>
      <c r="B13" t="s">
        <v>40</v>
      </c>
      <c r="C13" t="s">
        <v>41</v>
      </c>
      <c r="D13" t="s">
        <v>10</v>
      </c>
      <c r="E13" t="s">
        <v>41</v>
      </c>
      <c r="G13">
        <v>1</v>
      </c>
    </row>
    <row r="14" spans="1:7" x14ac:dyDescent="0.35">
      <c r="A14" t="s">
        <v>71</v>
      </c>
      <c r="B14" t="s">
        <v>42</v>
      </c>
      <c r="C14" t="s">
        <v>43</v>
      </c>
      <c r="D14" t="s">
        <v>17</v>
      </c>
      <c r="E14" t="s">
        <v>43</v>
      </c>
      <c r="F14">
        <v>1</v>
      </c>
    </row>
    <row r="15" spans="1:7" x14ac:dyDescent="0.35">
      <c r="A15" t="s">
        <v>74</v>
      </c>
      <c r="B15" t="s">
        <v>44</v>
      </c>
      <c r="C15" t="s">
        <v>45</v>
      </c>
      <c r="D15" t="s">
        <v>17</v>
      </c>
      <c r="E15" t="s">
        <v>45</v>
      </c>
      <c r="F15">
        <v>1</v>
      </c>
    </row>
    <row r="16" spans="1:7" x14ac:dyDescent="0.35">
      <c r="A16" t="s">
        <v>79</v>
      </c>
      <c r="B16" t="s">
        <v>46</v>
      </c>
      <c r="C16" t="s">
        <v>47</v>
      </c>
      <c r="D16" t="s">
        <v>10</v>
      </c>
      <c r="G16">
        <v>0</v>
      </c>
    </row>
    <row r="17" spans="1:7" x14ac:dyDescent="0.35">
      <c r="A17" t="s">
        <v>84</v>
      </c>
      <c r="B17" t="s">
        <v>48</v>
      </c>
      <c r="C17" t="s">
        <v>49</v>
      </c>
      <c r="D17" t="s">
        <v>17</v>
      </c>
      <c r="E17" t="s">
        <v>49</v>
      </c>
      <c r="F17">
        <v>1</v>
      </c>
    </row>
    <row r="18" spans="1:7" x14ac:dyDescent="0.35">
      <c r="B18" t="s">
        <v>50</v>
      </c>
      <c r="C18" t="s">
        <v>51</v>
      </c>
      <c r="D18" t="s">
        <v>17</v>
      </c>
      <c r="E18" t="s">
        <v>51</v>
      </c>
      <c r="F18">
        <v>1</v>
      </c>
    </row>
    <row r="19" spans="1:7" x14ac:dyDescent="0.35">
      <c r="B19" t="s">
        <v>52</v>
      </c>
      <c r="C19" t="s">
        <v>53</v>
      </c>
      <c r="D19" t="s">
        <v>10</v>
      </c>
      <c r="G19">
        <v>0</v>
      </c>
    </row>
    <row r="20" spans="1:7" x14ac:dyDescent="0.35">
      <c r="B20" t="s">
        <v>54</v>
      </c>
      <c r="C20" t="s">
        <v>55</v>
      </c>
      <c r="D20" t="s">
        <v>17</v>
      </c>
      <c r="E20" t="s">
        <v>55</v>
      </c>
      <c r="F20">
        <v>1</v>
      </c>
    </row>
    <row r="21" spans="1:7" x14ac:dyDescent="0.35">
      <c r="B21" t="s">
        <v>56</v>
      </c>
      <c r="C21" t="s">
        <v>57</v>
      </c>
      <c r="D21" t="s">
        <v>10</v>
      </c>
      <c r="G21">
        <v>0</v>
      </c>
    </row>
    <row r="22" spans="1:7" x14ac:dyDescent="0.35">
      <c r="B22" t="s">
        <v>59</v>
      </c>
      <c r="C22" t="s">
        <v>60</v>
      </c>
      <c r="D22" t="s">
        <v>17</v>
      </c>
      <c r="E22" t="s">
        <v>60</v>
      </c>
      <c r="F22">
        <v>1</v>
      </c>
    </row>
    <row r="23" spans="1:7" x14ac:dyDescent="0.35">
      <c r="B23" t="s">
        <v>61</v>
      </c>
      <c r="C23" t="s">
        <v>62</v>
      </c>
      <c r="D23" t="s">
        <v>17</v>
      </c>
      <c r="F23">
        <v>0</v>
      </c>
    </row>
    <row r="24" spans="1:7" x14ac:dyDescent="0.35">
      <c r="B24" t="s">
        <v>63</v>
      </c>
      <c r="C24" t="s">
        <v>64</v>
      </c>
      <c r="D24" t="s">
        <v>10</v>
      </c>
      <c r="E24" t="s">
        <v>64</v>
      </c>
      <c r="G24">
        <v>1</v>
      </c>
    </row>
    <row r="25" spans="1:7" x14ac:dyDescent="0.35">
      <c r="B25" t="s">
        <v>66</v>
      </c>
      <c r="C25" t="s">
        <v>67</v>
      </c>
      <c r="D25" t="s">
        <v>10</v>
      </c>
      <c r="G25">
        <v>0</v>
      </c>
    </row>
    <row r="26" spans="1:7" x14ac:dyDescent="0.35">
      <c r="B26" t="s">
        <v>69</v>
      </c>
      <c r="C26" t="s">
        <v>70</v>
      </c>
      <c r="D26" t="s">
        <v>17</v>
      </c>
      <c r="E26" t="s">
        <v>70</v>
      </c>
      <c r="F26">
        <v>1</v>
      </c>
    </row>
    <row r="27" spans="1:7" x14ac:dyDescent="0.35">
      <c r="B27" t="s">
        <v>72</v>
      </c>
      <c r="C27" t="s">
        <v>73</v>
      </c>
      <c r="D27" t="s">
        <v>10</v>
      </c>
      <c r="E27" t="s">
        <v>73</v>
      </c>
      <c r="G27">
        <v>1</v>
      </c>
    </row>
    <row r="28" spans="1:7" x14ac:dyDescent="0.35">
      <c r="B28" t="s">
        <v>75</v>
      </c>
      <c r="C28" t="s">
        <v>76</v>
      </c>
      <c r="D28" t="s">
        <v>17</v>
      </c>
      <c r="E28" t="s">
        <v>76</v>
      </c>
      <c r="F28">
        <v>1</v>
      </c>
    </row>
    <row r="29" spans="1:7" x14ac:dyDescent="0.35">
      <c r="B29" t="s">
        <v>77</v>
      </c>
      <c r="C29" t="s">
        <v>78</v>
      </c>
      <c r="D29" t="s">
        <v>10</v>
      </c>
      <c r="E29" t="s">
        <v>78</v>
      </c>
      <c r="G29">
        <v>1</v>
      </c>
    </row>
    <row r="30" spans="1:7" x14ac:dyDescent="0.35">
      <c r="B30" t="s">
        <v>80</v>
      </c>
      <c r="C30" t="s">
        <v>81</v>
      </c>
      <c r="D30" t="s">
        <v>10</v>
      </c>
      <c r="G30">
        <v>0</v>
      </c>
    </row>
    <row r="31" spans="1:7" x14ac:dyDescent="0.35">
      <c r="B31" t="s">
        <v>82</v>
      </c>
      <c r="C31" t="s">
        <v>83</v>
      </c>
      <c r="D31" t="s">
        <v>17</v>
      </c>
      <c r="E31" t="s">
        <v>83</v>
      </c>
      <c r="F31">
        <v>1</v>
      </c>
    </row>
    <row r="32" spans="1:7" x14ac:dyDescent="0.35">
      <c r="B32" t="s">
        <v>85</v>
      </c>
      <c r="C32" t="s">
        <v>86</v>
      </c>
      <c r="D32" t="s">
        <v>17</v>
      </c>
      <c r="E32" t="s">
        <v>86</v>
      </c>
      <c r="F32">
        <v>1</v>
      </c>
    </row>
    <row r="33" spans="1:7" x14ac:dyDescent="0.35">
      <c r="B33" t="s">
        <v>87</v>
      </c>
      <c r="C33" t="s">
        <v>88</v>
      </c>
      <c r="D33" t="s">
        <v>17</v>
      </c>
      <c r="E33" t="s">
        <v>88</v>
      </c>
      <c r="F33">
        <v>1</v>
      </c>
    </row>
    <row r="34" spans="1:7" x14ac:dyDescent="0.35">
      <c r="A34" s="1"/>
      <c r="B34" s="1"/>
      <c r="C34" s="1"/>
      <c r="D34" s="1"/>
      <c r="E34" s="1"/>
      <c r="F34" s="1">
        <f>SUM(F2:F33)</f>
        <v>15</v>
      </c>
      <c r="G34" s="1">
        <f>SUM(G2:G33)</f>
        <v>9</v>
      </c>
    </row>
    <row r="35" spans="1:7" x14ac:dyDescent="0.35">
      <c r="F35">
        <f>F34/16</f>
        <v>0.9375</v>
      </c>
      <c r="G35">
        <f>G34/16</f>
        <v>0.5625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9E86-23AD-4D39-993B-288AFBFD5A87}">
  <dimension ref="A1:G35"/>
  <sheetViews>
    <sheetView topLeftCell="A27" zoomScale="104" zoomScaleNormal="115" workbookViewId="0">
      <selection activeCell="G36" sqref="G3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>
        <v>0</v>
      </c>
    </row>
    <row r="3" spans="1:7" x14ac:dyDescent="0.35">
      <c r="A3" t="s">
        <v>12</v>
      </c>
      <c r="B3" t="s">
        <v>13</v>
      </c>
      <c r="C3" t="s">
        <v>14</v>
      </c>
      <c r="D3" t="s">
        <v>10</v>
      </c>
      <c r="E3" t="s">
        <v>14</v>
      </c>
      <c r="G3">
        <v>1</v>
      </c>
    </row>
    <row r="4" spans="1:7" x14ac:dyDescent="0.35">
      <c r="A4" t="s">
        <v>15</v>
      </c>
      <c r="B4" t="s">
        <v>16</v>
      </c>
      <c r="C4" t="s">
        <v>12</v>
      </c>
      <c r="D4" t="s">
        <v>17</v>
      </c>
      <c r="F4">
        <v>0</v>
      </c>
    </row>
    <row r="5" spans="1:7" x14ac:dyDescent="0.35">
      <c r="A5" t="s">
        <v>18</v>
      </c>
      <c r="B5" t="s">
        <v>19</v>
      </c>
      <c r="C5" t="s">
        <v>20</v>
      </c>
      <c r="D5" t="s">
        <v>10</v>
      </c>
      <c r="E5" t="s">
        <v>20</v>
      </c>
      <c r="G5">
        <v>1</v>
      </c>
    </row>
    <row r="6" spans="1:7" x14ac:dyDescent="0.35">
      <c r="A6" t="s">
        <v>21</v>
      </c>
      <c r="B6" t="s">
        <v>22</v>
      </c>
      <c r="C6" t="s">
        <v>23</v>
      </c>
      <c r="D6" t="s">
        <v>10</v>
      </c>
      <c r="E6" t="s">
        <v>23</v>
      </c>
      <c r="G6">
        <v>1</v>
      </c>
    </row>
    <row r="7" spans="1:7" x14ac:dyDescent="0.35">
      <c r="A7" t="s">
        <v>24</v>
      </c>
      <c r="B7" t="s">
        <v>25</v>
      </c>
      <c r="C7" t="s">
        <v>26</v>
      </c>
      <c r="D7" t="s">
        <v>10</v>
      </c>
      <c r="G7">
        <v>0</v>
      </c>
    </row>
    <row r="8" spans="1:7" x14ac:dyDescent="0.35">
      <c r="A8" t="s">
        <v>27</v>
      </c>
      <c r="B8" t="s">
        <v>28</v>
      </c>
      <c r="C8" t="s">
        <v>29</v>
      </c>
      <c r="D8" t="s">
        <v>10</v>
      </c>
      <c r="E8" t="s">
        <v>29</v>
      </c>
      <c r="G8">
        <v>1</v>
      </c>
    </row>
    <row r="9" spans="1:7" x14ac:dyDescent="0.35">
      <c r="A9" t="s">
        <v>30</v>
      </c>
      <c r="B9" t="s">
        <v>31</v>
      </c>
      <c r="C9" t="s">
        <v>32</v>
      </c>
      <c r="D9" t="s">
        <v>10</v>
      </c>
      <c r="E9" t="s">
        <v>32</v>
      </c>
      <c r="G9">
        <v>1</v>
      </c>
    </row>
    <row r="10" spans="1:7" x14ac:dyDescent="0.35">
      <c r="A10" t="s">
        <v>33</v>
      </c>
      <c r="B10" t="s">
        <v>34</v>
      </c>
      <c r="C10" t="s">
        <v>35</v>
      </c>
      <c r="D10" t="s">
        <v>17</v>
      </c>
      <c r="E10" t="s">
        <v>35</v>
      </c>
      <c r="F10">
        <v>1</v>
      </c>
    </row>
    <row r="11" spans="1:7" x14ac:dyDescent="0.35">
      <c r="A11" t="s">
        <v>58</v>
      </c>
      <c r="B11" t="s">
        <v>36</v>
      </c>
      <c r="C11" t="s">
        <v>37</v>
      </c>
      <c r="D11" t="s">
        <v>17</v>
      </c>
      <c r="E11" t="s">
        <v>37</v>
      </c>
      <c r="F11">
        <v>1</v>
      </c>
    </row>
    <row r="12" spans="1:7" x14ac:dyDescent="0.35">
      <c r="A12" t="s">
        <v>65</v>
      </c>
      <c r="B12" t="s">
        <v>38</v>
      </c>
      <c r="C12" t="s">
        <v>39</v>
      </c>
      <c r="D12" t="s">
        <v>17</v>
      </c>
      <c r="E12" t="s">
        <v>39</v>
      </c>
      <c r="F12">
        <v>1</v>
      </c>
    </row>
    <row r="13" spans="1:7" x14ac:dyDescent="0.35">
      <c r="A13" t="s">
        <v>68</v>
      </c>
      <c r="B13" t="s">
        <v>40</v>
      </c>
      <c r="C13" t="s">
        <v>41</v>
      </c>
      <c r="D13" t="s">
        <v>10</v>
      </c>
      <c r="E13" t="s">
        <v>41</v>
      </c>
      <c r="G13">
        <v>1</v>
      </c>
    </row>
    <row r="14" spans="1:7" x14ac:dyDescent="0.35">
      <c r="A14" t="s">
        <v>71</v>
      </c>
      <c r="B14" t="s">
        <v>42</v>
      </c>
      <c r="C14" t="s">
        <v>43</v>
      </c>
      <c r="D14" t="s">
        <v>17</v>
      </c>
      <c r="E14" t="s">
        <v>43</v>
      </c>
      <c r="F14">
        <v>1</v>
      </c>
    </row>
    <row r="15" spans="1:7" x14ac:dyDescent="0.35">
      <c r="A15" t="s">
        <v>74</v>
      </c>
      <c r="B15" t="s">
        <v>44</v>
      </c>
      <c r="C15" t="s">
        <v>45</v>
      </c>
      <c r="D15" t="s">
        <v>17</v>
      </c>
      <c r="E15" t="s">
        <v>45</v>
      </c>
      <c r="F15">
        <v>1</v>
      </c>
    </row>
    <row r="16" spans="1:7" x14ac:dyDescent="0.35">
      <c r="A16" t="s">
        <v>79</v>
      </c>
      <c r="B16" t="s">
        <v>46</v>
      </c>
      <c r="C16" t="s">
        <v>47</v>
      </c>
      <c r="D16" t="s">
        <v>10</v>
      </c>
      <c r="E16" t="s">
        <v>47</v>
      </c>
      <c r="G16">
        <v>1</v>
      </c>
    </row>
    <row r="17" spans="1:7" x14ac:dyDescent="0.35">
      <c r="A17" t="s">
        <v>84</v>
      </c>
      <c r="B17" t="s">
        <v>48</v>
      </c>
      <c r="C17" t="s">
        <v>49</v>
      </c>
      <c r="D17" t="s">
        <v>17</v>
      </c>
      <c r="E17" t="s">
        <v>49</v>
      </c>
      <c r="F17">
        <v>1</v>
      </c>
    </row>
    <row r="18" spans="1:7" x14ac:dyDescent="0.35">
      <c r="B18" t="s">
        <v>50</v>
      </c>
      <c r="C18" t="s">
        <v>51</v>
      </c>
      <c r="D18" t="s">
        <v>17</v>
      </c>
      <c r="E18" t="s">
        <v>51</v>
      </c>
      <c r="F18">
        <v>1</v>
      </c>
    </row>
    <row r="19" spans="1:7" x14ac:dyDescent="0.35">
      <c r="B19" t="s">
        <v>52</v>
      </c>
      <c r="C19" t="s">
        <v>53</v>
      </c>
      <c r="D19" t="s">
        <v>10</v>
      </c>
      <c r="E19" t="s">
        <v>53</v>
      </c>
      <c r="G19">
        <v>1</v>
      </c>
    </row>
    <row r="20" spans="1:7" x14ac:dyDescent="0.35">
      <c r="B20" t="s">
        <v>54</v>
      </c>
      <c r="C20" t="s">
        <v>55</v>
      </c>
      <c r="D20" t="s">
        <v>17</v>
      </c>
      <c r="E20" t="s">
        <v>55</v>
      </c>
      <c r="F20">
        <v>1</v>
      </c>
    </row>
    <row r="21" spans="1:7" x14ac:dyDescent="0.35">
      <c r="B21" t="s">
        <v>56</v>
      </c>
      <c r="C21" t="s">
        <v>57</v>
      </c>
      <c r="D21" t="s">
        <v>10</v>
      </c>
      <c r="G21">
        <v>0</v>
      </c>
    </row>
    <row r="22" spans="1:7" x14ac:dyDescent="0.35">
      <c r="B22" t="s">
        <v>59</v>
      </c>
      <c r="C22" t="s">
        <v>60</v>
      </c>
      <c r="D22" t="s">
        <v>17</v>
      </c>
      <c r="E22" t="s">
        <v>60</v>
      </c>
      <c r="F22">
        <v>1</v>
      </c>
    </row>
    <row r="23" spans="1:7" x14ac:dyDescent="0.35">
      <c r="B23" t="s">
        <v>61</v>
      </c>
      <c r="C23" t="s">
        <v>62</v>
      </c>
      <c r="D23" t="s">
        <v>17</v>
      </c>
      <c r="F23">
        <v>0</v>
      </c>
    </row>
    <row r="24" spans="1:7" x14ac:dyDescent="0.35">
      <c r="B24" t="s">
        <v>63</v>
      </c>
      <c r="C24" t="s">
        <v>64</v>
      </c>
      <c r="D24" t="s">
        <v>10</v>
      </c>
      <c r="G24">
        <v>0</v>
      </c>
    </row>
    <row r="25" spans="1:7" x14ac:dyDescent="0.35">
      <c r="B25" t="s">
        <v>66</v>
      </c>
      <c r="C25" t="s">
        <v>67</v>
      </c>
      <c r="D25" t="s">
        <v>10</v>
      </c>
      <c r="G25">
        <v>0</v>
      </c>
    </row>
    <row r="26" spans="1:7" x14ac:dyDescent="0.35">
      <c r="B26" t="s">
        <v>69</v>
      </c>
      <c r="C26" t="s">
        <v>70</v>
      </c>
      <c r="D26" t="s">
        <v>17</v>
      </c>
      <c r="E26" t="s">
        <v>70</v>
      </c>
      <c r="F26">
        <v>1</v>
      </c>
    </row>
    <row r="27" spans="1:7" x14ac:dyDescent="0.35">
      <c r="B27" t="s">
        <v>72</v>
      </c>
      <c r="C27" t="s">
        <v>73</v>
      </c>
      <c r="D27" t="s">
        <v>10</v>
      </c>
      <c r="G27">
        <v>0</v>
      </c>
    </row>
    <row r="28" spans="1:7" x14ac:dyDescent="0.35">
      <c r="B28" t="s">
        <v>75</v>
      </c>
      <c r="C28" t="s">
        <v>76</v>
      </c>
      <c r="D28" t="s">
        <v>17</v>
      </c>
      <c r="E28" t="s">
        <v>76</v>
      </c>
      <c r="F28">
        <v>1</v>
      </c>
    </row>
    <row r="29" spans="1:7" x14ac:dyDescent="0.35">
      <c r="B29" t="s">
        <v>77</v>
      </c>
      <c r="C29" t="s">
        <v>78</v>
      </c>
      <c r="D29" t="s">
        <v>10</v>
      </c>
      <c r="E29" t="s">
        <v>78</v>
      </c>
      <c r="G29">
        <v>1</v>
      </c>
    </row>
    <row r="30" spans="1:7" x14ac:dyDescent="0.35">
      <c r="B30" t="s">
        <v>80</v>
      </c>
      <c r="C30" t="s">
        <v>81</v>
      </c>
      <c r="D30" t="s">
        <v>10</v>
      </c>
      <c r="G30">
        <v>0</v>
      </c>
    </row>
    <row r="31" spans="1:7" x14ac:dyDescent="0.35">
      <c r="B31" t="s">
        <v>82</v>
      </c>
      <c r="C31" t="s">
        <v>83</v>
      </c>
      <c r="D31" t="s">
        <v>17</v>
      </c>
      <c r="E31" t="s">
        <v>83</v>
      </c>
      <c r="F31">
        <v>1</v>
      </c>
    </row>
    <row r="32" spans="1:7" x14ac:dyDescent="0.35">
      <c r="B32" t="s">
        <v>85</v>
      </c>
      <c r="C32" t="s">
        <v>86</v>
      </c>
      <c r="D32" t="s">
        <v>17</v>
      </c>
      <c r="E32" t="s">
        <v>86</v>
      </c>
      <c r="F32">
        <v>1</v>
      </c>
    </row>
    <row r="33" spans="1:7" x14ac:dyDescent="0.35">
      <c r="B33" t="s">
        <v>87</v>
      </c>
      <c r="C33" t="s">
        <v>88</v>
      </c>
      <c r="D33" t="s">
        <v>17</v>
      </c>
      <c r="E33" t="s">
        <v>88</v>
      </c>
      <c r="F33">
        <v>1</v>
      </c>
    </row>
    <row r="34" spans="1:7" x14ac:dyDescent="0.35">
      <c r="A34" s="1"/>
      <c r="B34" s="1"/>
      <c r="C34" s="1"/>
      <c r="D34" s="1"/>
      <c r="E34" s="1"/>
      <c r="F34" s="1">
        <v>14</v>
      </c>
      <c r="G34" s="1">
        <f>SUM(G2:G33)</f>
        <v>9</v>
      </c>
    </row>
    <row r="35" spans="1:7" x14ac:dyDescent="0.35">
      <c r="F35">
        <f>F34/16</f>
        <v>0.875</v>
      </c>
      <c r="G35">
        <f>G34/16</f>
        <v>0.5625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pariticipant 1</vt:lpstr>
      <vt:lpstr>participnt 2</vt:lpstr>
      <vt:lpstr>participant 3</vt:lpstr>
      <vt:lpstr>participant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Freya Shah</dc:creator>
  <cp:lastModifiedBy>Freya Shah</cp:lastModifiedBy>
  <dcterms:created xsi:type="dcterms:W3CDTF">2025-10-18T17:42:07Z</dcterms:created>
  <dcterms:modified xsi:type="dcterms:W3CDTF">2025-10-18T18:25:06Z</dcterms:modified>
</cp:coreProperties>
</file>